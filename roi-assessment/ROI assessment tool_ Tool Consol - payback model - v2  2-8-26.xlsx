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GaG1yx7gmFwL3u0zVQ/Bx5bz/aiWVMJinBS9iN1RGM="/>
    </ext>
  </extLst>
</workbook>
</file>

<file path=xl/sharedStrings.xml><?xml version="1.0" encoding="utf-8"?>
<sst xmlns="http://schemas.openxmlformats.org/spreadsheetml/2006/main" count="57" uniqueCount="46">
  <si>
    <t>Tool Consolidation Campaign</t>
  </si>
  <si>
    <t>on webpage, swap 3 and 4 question positions</t>
  </si>
  <si>
    <t>SaaS vs. Self-Hosted - Payback Calculator</t>
  </si>
  <si>
    <t xml:space="preserve">Questions:  </t>
  </si>
  <si>
    <t xml:space="preserve">1. What are your infrastructure costs for all the self-hosted WLA/job scheduler products you are running? </t>
  </si>
  <si>
    <t>For example:</t>
  </si>
  <si>
    <t>Units</t>
  </si>
  <si>
    <t>Annual</t>
  </si>
  <si>
    <t>Unit #</t>
  </si>
  <si>
    <t xml:space="preserve">a. # of production servers? </t>
  </si>
  <si>
    <t>b. # of development or sandbox servers?</t>
  </si>
  <si>
    <t>c. # of testing servers?</t>
  </si>
  <si>
    <t>d. # of servers that have database software licenses to support the WLA/job scheduler</t>
  </si>
  <si>
    <t>e. # of servers that have an operating system license to support the WLA/job scheduler</t>
  </si>
  <si>
    <t>f. Annual hosting costs for all servers if provided by a third party. [If applicable, A-E need to be disregarded]</t>
  </si>
  <si>
    <r>
      <rPr>
        <rFont val="Arial"/>
        <color theme="1"/>
      </rPr>
      <t>Need to add</t>
    </r>
    <r>
      <rPr>
        <rFont val="Arial"/>
        <b/>
        <color theme="1"/>
      </rPr>
      <t xml:space="preserve"> if/then</t>
    </r>
    <r>
      <rPr>
        <rFont val="Arial"/>
        <color theme="1"/>
      </rPr>
      <t xml:space="preserve"> to calculation. Rows above go away if paying third party</t>
    </r>
  </si>
  <si>
    <t>Dollar value #</t>
  </si>
  <si>
    <t>g. Any other specific annual infrastructure costs not captured above?</t>
  </si>
  <si>
    <t>[text next to fields on webpage]</t>
  </si>
  <si>
    <t>Industry benchmarks for annual fully burdened server and associated software costs to run a WLA/job scheduler is between $5,000 and $8,000.</t>
  </si>
  <si>
    <t>If you know your annual average cost per server - provide here:</t>
  </si>
  <si>
    <t>[if provided, needs to be a part of formula for 9-13 in Column J]</t>
  </si>
  <si>
    <t>If you don't know, we'll use $6,500 - the midpoint for the average.</t>
  </si>
  <si>
    <t>2. How many FTE hours per week are dedicated to 'keeping the daily WLA/job scheduler self-hosted lights on/system running'?</t>
  </si>
  <si>
    <t xml:space="preserve">a. Number of people - administrators, engineers, </t>
  </si>
  <si>
    <t xml:space="preserve">b. Average hours per week per person </t>
  </si>
  <si>
    <t>set at 52</t>
  </si>
  <si>
    <t>c. Weeks per year</t>
  </si>
  <si>
    <t>Industry benchmarks for these roles is roughly $55 per hour.</t>
  </si>
  <si>
    <t xml:space="preserve">If you know your fully burdened hourly FTE rate for these roles - Provide here: </t>
  </si>
  <si>
    <t>If you don't know, we'll use $55 per hour - the industry average.</t>
  </si>
  <si>
    <t>3. What is your annual WLA/job scheduler maintenance license cost?</t>
  </si>
  <si>
    <t>For example - this is typically charged as a percentage of the overall WLA/job scheduler annual license fee:</t>
  </si>
  <si>
    <t>Industry benchmarks are around 15%-22% of annual license cost.</t>
  </si>
  <si>
    <t>4. What was the total impact on your team to plan, test, debug, and release to production your last major WLA/job scheduler upgrade?</t>
  </si>
  <si>
    <t>For example: The cycle for most self-hosted WLA/job scheduler products is a major upgrade every 1.2 to 1.5 years.</t>
  </si>
  <si>
    <t>a. How many people were on the team?  (Admin, Engineer, Platform Team, Proj. Mgr, Test Engineers, etc.)</t>
  </si>
  <si>
    <t>b. How many total months did the project run?</t>
  </si>
  <si>
    <t>c. How many hours per week on average was the team engaged?</t>
  </si>
  <si>
    <t xml:space="preserve">We'll use the FTE average fully burdened cost from Question 2 above to calculate the per hour cost totals. </t>
  </si>
  <si>
    <r>
      <rPr>
        <rFont val="Arial"/>
        <color theme="1"/>
      </rPr>
      <t>Need to add</t>
    </r>
    <r>
      <rPr>
        <rFont val="Arial"/>
        <b/>
        <color theme="1"/>
      </rPr>
      <t xml:space="preserve"> if/then</t>
    </r>
    <r>
      <rPr>
        <rFont val="Arial"/>
        <color theme="1"/>
      </rPr>
      <t xml:space="preserve"> to calculation</t>
    </r>
  </si>
  <si>
    <t>Output</t>
  </si>
  <si>
    <t>Total Annual Maintenance and Support Costs of current Self-Hosted WLA/SOAP products:</t>
  </si>
  <si>
    <t>*what they save - no equivalent cost on RMJ SaaS side, immediate savings / SaaS cost benefits</t>
  </si>
  <si>
    <t>[text next to output on webpage]</t>
  </si>
  <si>
    <t>How much you could save by consolidating your WLA/SOAP processes on RunMyJobs SaaS: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</si>
</sst>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9">
    <font>
      <sz val="11.0"/>
      <color theme="1"/>
      <name val="Aptos Narrow"/>
      <scheme val="minor"/>
    </font>
    <font>
      <b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b/>
      <color theme="1"/>
      <name val="Arial"/>
    </font>
    <font>
      <sz val="11.0"/>
      <color theme="1"/>
      <name val="Aptos Narrow"/>
    </font>
    <font>
      <sz val="8.0"/>
      <color theme="1"/>
      <name val="Arial"/>
    </font>
    <font>
      <sz val="7.0"/>
      <color theme="1"/>
      <name val="Arial"/>
    </font>
    <font>
      <sz val="8.0"/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Fill="1" applyFont="1"/>
    <xf borderId="0" fillId="0" fontId="3" numFmtId="0" xfId="0" applyFont="1"/>
    <xf borderId="0" fillId="0" fontId="4" numFmtId="0" xfId="0" applyAlignment="1" applyFont="1">
      <alignment readingOrder="0"/>
    </xf>
    <xf borderId="1" fillId="3" fontId="5" numFmtId="164" xfId="0" applyBorder="1" applyFill="1" applyFont="1" applyNumberFormat="1"/>
    <xf borderId="0" fillId="0" fontId="5" numFmtId="164" xfId="0" applyFont="1" applyNumberFormat="1"/>
    <xf borderId="0" fillId="4" fontId="3" numFmtId="0" xfId="0" applyAlignment="1" applyFill="1" applyFont="1">
      <alignment readingOrder="0"/>
    </xf>
    <xf borderId="0" fillId="4" fontId="3" numFmtId="0" xfId="0" applyFont="1"/>
    <xf borderId="0" fillId="5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5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88"/>
    <col customWidth="1" min="2" max="4" width="8.63"/>
    <col customWidth="1" min="5" max="5" width="77.75"/>
    <col customWidth="1" min="6" max="15" width="8.63"/>
    <col customWidth="1" min="16" max="16" width="35.13"/>
    <col customWidth="1" min="17" max="21" width="8.63"/>
  </cols>
  <sheetData>
    <row r="1">
      <c r="A1" s="1" t="s">
        <v>0</v>
      </c>
      <c r="E1" s="2" t="s">
        <v>1</v>
      </c>
    </row>
    <row r="2">
      <c r="A2" s="1"/>
      <c r="E2" s="3"/>
      <c r="F2" s="4"/>
      <c r="G2" s="4"/>
      <c r="H2" s="4"/>
    </row>
    <row r="3">
      <c r="A3" s="1" t="s">
        <v>2</v>
      </c>
    </row>
    <row r="5">
      <c r="A5" s="5" t="s">
        <v>3</v>
      </c>
    </row>
    <row r="7">
      <c r="A7" s="6" t="s">
        <v>4</v>
      </c>
      <c r="N7" s="7">
        <f>SUM(L9:L14)+L15</f>
        <v>75000</v>
      </c>
    </row>
    <row r="8">
      <c r="B8" s="5" t="s">
        <v>5</v>
      </c>
      <c r="J8" s="1" t="s">
        <v>6</v>
      </c>
      <c r="L8" s="1" t="s">
        <v>7</v>
      </c>
    </row>
    <row r="9">
      <c r="A9" s="2" t="s">
        <v>8</v>
      </c>
      <c r="B9" s="5" t="s">
        <v>9</v>
      </c>
      <c r="J9" s="5">
        <v>2.0</v>
      </c>
      <c r="L9" s="8">
        <f t="shared" ref="L9:L13" si="1">J9*$L$19</f>
        <v>13000</v>
      </c>
    </row>
    <row r="10">
      <c r="A10" s="2" t="s">
        <v>8</v>
      </c>
      <c r="B10" s="5" t="s">
        <v>10</v>
      </c>
      <c r="J10" s="5">
        <v>2.0</v>
      </c>
      <c r="L10" s="8">
        <f t="shared" si="1"/>
        <v>13000</v>
      </c>
    </row>
    <row r="11">
      <c r="A11" s="2" t="s">
        <v>8</v>
      </c>
      <c r="B11" s="5" t="s">
        <v>11</v>
      </c>
      <c r="J11" s="5">
        <v>2.0</v>
      </c>
      <c r="L11" s="8">
        <f t="shared" si="1"/>
        <v>13000</v>
      </c>
    </row>
    <row r="12">
      <c r="A12" s="2" t="s">
        <v>8</v>
      </c>
      <c r="B12" s="2" t="s">
        <v>12</v>
      </c>
      <c r="J12" s="5">
        <v>2.0</v>
      </c>
      <c r="L12" s="8">
        <f t="shared" si="1"/>
        <v>13000</v>
      </c>
    </row>
    <row r="13">
      <c r="A13" s="2" t="s">
        <v>8</v>
      </c>
      <c r="B13" s="2" t="s">
        <v>13</v>
      </c>
      <c r="J13" s="5">
        <v>2.0</v>
      </c>
      <c r="L13" s="8">
        <f t="shared" si="1"/>
        <v>13000</v>
      </c>
    </row>
    <row r="14">
      <c r="A14" s="2" t="s">
        <v>8</v>
      </c>
      <c r="B14" s="2" t="s">
        <v>14</v>
      </c>
      <c r="L14" s="5">
        <v>0.0</v>
      </c>
      <c r="N14" s="9" t="s">
        <v>15</v>
      </c>
      <c r="O14" s="10"/>
      <c r="P14" s="10"/>
    </row>
    <row r="15">
      <c r="A15" s="2" t="s">
        <v>16</v>
      </c>
      <c r="B15" s="5" t="s">
        <v>17</v>
      </c>
      <c r="L15" s="8">
        <v>10000.0</v>
      </c>
    </row>
    <row r="17">
      <c r="A17" s="11" t="s">
        <v>18</v>
      </c>
      <c r="B17" s="2" t="s">
        <v>19</v>
      </c>
    </row>
    <row r="18">
      <c r="B18" s="5" t="s">
        <v>20</v>
      </c>
      <c r="L18" s="5">
        <v>0.0</v>
      </c>
    </row>
    <row r="19">
      <c r="A19" s="12" t="s">
        <v>21</v>
      </c>
      <c r="B19" s="5" t="s">
        <v>22</v>
      </c>
      <c r="L19" s="8">
        <v>6500.0</v>
      </c>
    </row>
    <row r="20">
      <c r="L20" s="8"/>
    </row>
    <row r="21" ht="15.75" customHeight="1"/>
    <row r="22" ht="15.75" customHeight="1">
      <c r="A22" s="6" t="s">
        <v>23</v>
      </c>
      <c r="N22" s="7">
        <f>(J24*J25)*J30*J26</f>
        <v>85800</v>
      </c>
    </row>
    <row r="23" ht="15.75" customHeight="1">
      <c r="B23" s="5" t="s">
        <v>5</v>
      </c>
    </row>
    <row r="24" ht="15.75" customHeight="1">
      <c r="A24" s="2" t="s">
        <v>8</v>
      </c>
      <c r="B24" s="5" t="s">
        <v>24</v>
      </c>
      <c r="J24" s="5">
        <v>3.0</v>
      </c>
    </row>
    <row r="25" ht="15.75" customHeight="1">
      <c r="A25" s="2" t="s">
        <v>8</v>
      </c>
      <c r="B25" s="5" t="s">
        <v>25</v>
      </c>
      <c r="J25" s="5">
        <v>10.0</v>
      </c>
    </row>
    <row r="26" ht="15.75" customHeight="1">
      <c r="A26" s="2" t="s">
        <v>26</v>
      </c>
      <c r="B26" s="5" t="s">
        <v>27</v>
      </c>
      <c r="J26" s="5">
        <v>52.0</v>
      </c>
    </row>
    <row r="27" ht="15.75" customHeight="1"/>
    <row r="28" ht="15.75" customHeight="1">
      <c r="A28" s="11" t="s">
        <v>18</v>
      </c>
      <c r="B28" s="5" t="s">
        <v>28</v>
      </c>
    </row>
    <row r="29" ht="15.75" customHeight="1">
      <c r="B29" s="5" t="s">
        <v>29</v>
      </c>
      <c r="J29" s="5">
        <v>0.0</v>
      </c>
    </row>
    <row r="30" ht="15.75" customHeight="1">
      <c r="B30" s="5" t="s">
        <v>30</v>
      </c>
      <c r="J30" s="8">
        <v>55.0</v>
      </c>
    </row>
    <row r="31" ht="15.75" customHeight="1"/>
    <row r="32" ht="15.75" customHeight="1"/>
    <row r="33" ht="15.75" customHeight="1">
      <c r="A33" s="6" t="s">
        <v>31</v>
      </c>
      <c r="N33" s="7">
        <v>40000.0</v>
      </c>
    </row>
    <row r="34" ht="15.75" customHeight="1">
      <c r="A34" s="13" t="s">
        <v>18</v>
      </c>
      <c r="B34" s="2" t="s">
        <v>32</v>
      </c>
    </row>
    <row r="35" ht="15.75" customHeight="1">
      <c r="B35" s="2" t="s">
        <v>33</v>
      </c>
    </row>
    <row r="36" ht="15.75" customHeight="1"/>
    <row r="37" ht="15.75" customHeight="1">
      <c r="A37" s="6" t="s">
        <v>34</v>
      </c>
      <c r="N37" s="7">
        <f>(J39*J41)*(J40*4)*J43</f>
        <v>70400</v>
      </c>
    </row>
    <row r="38" ht="15.75" customHeight="1">
      <c r="A38" s="13" t="s">
        <v>18</v>
      </c>
      <c r="B38" s="2" t="s">
        <v>35</v>
      </c>
    </row>
    <row r="39" ht="15.75" customHeight="1">
      <c r="B39" s="5" t="s">
        <v>36</v>
      </c>
      <c r="J39" s="5">
        <v>4.0</v>
      </c>
    </row>
    <row r="40" ht="15.75" customHeight="1">
      <c r="B40" s="5" t="s">
        <v>37</v>
      </c>
      <c r="J40" s="5">
        <v>4.0</v>
      </c>
    </row>
    <row r="41" ht="15.75" customHeight="1">
      <c r="B41" s="5" t="s">
        <v>38</v>
      </c>
      <c r="J41" s="5">
        <v>20.0</v>
      </c>
    </row>
    <row r="42" ht="15.75" customHeight="1"/>
    <row r="43" ht="15.75" customHeight="1">
      <c r="B43" s="5" t="s">
        <v>39</v>
      </c>
      <c r="J43" s="8">
        <f>J30</f>
        <v>55</v>
      </c>
      <c r="N43" s="9" t="s">
        <v>40</v>
      </c>
      <c r="O43" s="10"/>
      <c r="P43" s="10"/>
    </row>
    <row r="44" ht="15.75" customHeight="1"/>
    <row r="45" ht="15.75" customHeight="1"/>
    <row r="46" ht="15.75" customHeight="1"/>
    <row r="47" ht="15.75" customHeight="1"/>
    <row r="48" ht="15.75" customHeight="1">
      <c r="A48" s="1" t="s">
        <v>41</v>
      </c>
    </row>
    <row r="49" ht="15.75" customHeight="1"/>
    <row r="50" ht="15.75" customHeight="1">
      <c r="B50" s="5" t="s">
        <v>42</v>
      </c>
      <c r="N50" s="7">
        <f>N37+N33+N22+N7</f>
        <v>271200</v>
      </c>
      <c r="P50" s="3" t="s">
        <v>43</v>
      </c>
    </row>
    <row r="51" ht="15.75" customHeight="1">
      <c r="A51" s="11" t="s">
        <v>44</v>
      </c>
      <c r="B51" s="2" t="s">
        <v>45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2026-02-09T02:58:17Z</dcterms:created>
  <dc:creator>Tim Eusterman</dc:creator>
</cp:coreProperties>
</file>